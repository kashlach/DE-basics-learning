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2.xml" ContentType="application/vnd.openxmlformats-officedocument.drawingml.chart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\DE_learning\currency-rate-project\airflow\reports\"/>
    </mc:Choice>
  </mc:AlternateContent>
  <xr:revisionPtr revIDLastSave="0" documentId="13_ncr:1_{ECDEB76B-0649-4C11-9B1C-53450F9B31A2}" xr6:coauthVersionLast="47" xr6:coauthVersionMax="47" xr10:uidLastSave="{00000000-0000-0000-0000-000000000000}"/>
  <bookViews>
    <workbookView xWindow="-28920" yWindow="-225" windowWidth="29040" windowHeight="15840" xr2:uid="{00000000-000D-0000-FFFF-FFFF00000000}"/>
  </bookViews>
  <sheets>
    <sheet name="Отчет" sheetId="8" r:id="rId1"/>
    <sheet name="reports" sheetId="4" state="hidden" r:id="rId2"/>
    <sheet name="params" sheetId="5" state="hidden" r:id="rId3"/>
  </sheets>
  <definedNames>
    <definedName name="ExternalData_1" localSheetId="1" hidden="1">reports!$A$1:$H$7</definedName>
    <definedName name="Срез_Код_валюты___Номер_недели">#N/A</definedName>
    <definedName name="Строка_для_спарклайна" comment="Для определения диапазона ячеек с непустыми значениями">OFFSET(Отчет!$D1, 0, MAX(0, COUNT(Отчет!$D1:$XFD1)-10), 1, MIN(10, COUNT(Отчет!$D1:$XFD1)))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8" l="1" a="1"/>
  <c r="C3" i="8" s="1"/>
  <c r="B2" i="5" a="1"/>
  <c r="B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B1AF89-83C9-4FC3-9E77-01D08C1F7C47}" keepAlive="1" name="Запрос — avg_rate_per_weeknum" description="Соединение с запросом &quot;avg_rate_per_weeknum&quot; в книге." type="5" refreshedVersion="7" background="1" refreshOnLoad="1" saveData="1">
    <dbPr connection="Provider=Microsoft.Mashup.OleDb.1;Data Source=$Workbook$;Location=avg_rate_per_weeknum;Extended Properties=&quot;&quot;" command="SELECT * FROM [avg_rate_per_weeknum]"/>
  </connection>
  <connection id="2" xr16:uid="{481DF857-E62E-422C-B9FF-D7B4F0739AD3}" keepAlive="1" name="Запрос — Параметр" description="Соединение с запросом &quot;Параметр&quot; в книге." type="5" refreshedVersion="0" background="1">
    <dbPr connection="Provider=Microsoft.Mashup.OleDb.1;Data Source=$Workbook$;Location=Параметр;Extended Properties=&quot;&quot;" command="SELECT * FROM [Параметр]"/>
  </connection>
  <connection id="3" xr16:uid="{2A9E528D-7E6B-4C21-8564-AC85E4B76BF2}" keepAlive="1" name="Запрос — Преобразовать пример файла" description="Соединение с запросом &quot;Преобразовать пример файла&quot; в книге." type="5" refreshedVersion="0" background="1">
    <dbPr connection="Provider=Microsoft.Mashup.OleDb.1;Data Source=$Workbook$;Location=&quot;Преобразовать пример файла&quot;;Extended Properties=&quot;&quot;" command="SELECT * FROM [Преобразовать пример файла]"/>
  </connection>
  <connection id="4" xr16:uid="{D359E2E3-3F5B-42CD-AEA7-3CD9773F0E7A}" keepAlive="1" name="Запрос — Преобразовать файл" description="Соединение с запросом &quot;Преобразовать файл&quot; в книге." type="5" refreshedVersion="0" background="1">
    <dbPr connection="Provider=Microsoft.Mashup.OleDb.1;Data Source=$Workbook$;Location=&quot;Преобразовать файл&quot;;Extended Properties=&quot;&quot;" command="SELECT * FROM [Преобразовать файл]"/>
  </connection>
  <connection id="5" xr16:uid="{2F676EA6-7872-4AA5-8A5A-39D97ECA96DD}" keepAlive="1" name="Запрос — Пример файла" description="Соединение с запросом &quot;Пример файла&quot; в книге." type="5" refreshedVersion="0" background="1">
    <dbPr connection="Provider=Microsoft.Mashup.OleDb.1;Data Source=$Workbook$;Location=&quot;Пример файла&quot;;Extended Properties=&quot;&quot;" command="SELECT * FROM [Пример файла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<sst xmlns="http://schemas.openxmlformats.org/spreadsheetml/2006/main" count="20" uniqueCount="20">
  <si>
    <t>EGP</t>
  </si>
  <si>
    <t>EUR</t>
  </si>
  <si>
    <t>THB</t>
  </si>
  <si>
    <t>TRY</t>
  </si>
  <si>
    <t>USD</t>
  </si>
  <si>
    <t>VND</t>
  </si>
  <si>
    <t>28</t>
  </si>
  <si>
    <t>29</t>
  </si>
  <si>
    <t>Путь к текущей папке</t>
  </si>
  <si>
    <t>Параметр</t>
  </si>
  <si>
    <t>Значение</t>
  </si>
  <si>
    <t>30</t>
  </si>
  <si>
    <t>32</t>
  </si>
  <si>
    <t>35</t>
  </si>
  <si>
    <t>36</t>
  </si>
  <si>
    <t>38</t>
  </si>
  <si>
    <t>Среднее значение курса за неделю</t>
  </si>
  <si>
    <t>↑ 10 посл. значений</t>
  </si>
  <si>
    <t>Динамика по всем неделям</t>
  </si>
  <si>
    <t>Код валюты / Номер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</si>
</sst>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sz val="9"/>
      <color theme="0" tint="-0.499984740745262"/>
      <name val="Arial"/>
      <family val="2"/>
      <charset val="204"/>
    </font>
    <font>
      <sz val="8"/>
      <color theme="0" tint="-0.499984740745262"/>
      <name val="Arial"/>
      <family val="2"/>
      <charset val="204"/>
    </font>
    <font>
      <b/>
      <sz val="14"/>
      <color theme="1" tint="0.34998626667073579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EAF0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NumberFormat="1"/>
    <xf numFmtId="164" fontId="0" fillId="0" borderId="0" xfId="0" applyNumberFormat="1"/>
    <xf numFmtId="164" fontId="2" fillId="0" borderId="0" xfId="0" applyNumberFormat="1" applyFont="1"/>
    <xf numFmtId="0" fontId="2" fillId="0" borderId="0" xfId="0" applyFont="1"/>
    <xf numFmtId="0" fontId="2" fillId="0" borderId="0" xfId="0" applyFont="1" applyFill="1" applyBorder="1"/>
    <xf numFmtId="164" fontId="2" fillId="0" borderId="0" xfId="0" applyNumberFormat="1" applyFont="1" applyFill="1" applyBorder="1"/>
    <xf numFmtId="0" fontId="3" fillId="0" borderId="0" xfId="0" applyFont="1" applyAlignment="1">
      <alignment vertical="center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164" fontId="2" fillId="2" borderId="0" xfId="0" applyNumberFormat="1" applyFont="1" applyFill="1"/>
    <xf numFmtId="0" fontId="2" fillId="2" borderId="0" xfId="0" applyFont="1" applyFill="1"/>
    <xf numFmtId="164" fontId="2" fillId="0" borderId="0" xfId="0" applyNumberFormat="1" applyFont="1" applyFill="1"/>
    <xf numFmtId="0" fontId="2" fillId="0" borderId="0" xfId="0" applyFont="1" applyFill="1"/>
    <xf numFmtId="0" fontId="7" fillId="2" borderId="0" xfId="0" applyFont="1" applyFill="1"/>
    <xf numFmtId="0" fontId="5" fillId="0" borderId="0" xfId="0" applyFont="1" applyAlignment="1">
      <alignment horizontal="center" vertical="center"/>
    </xf>
    <xf numFmtId="164" fontId="2" fillId="0" borderId="0" xfId="0" applyNumberFormat="1" applyFont="1" applyBorder="1"/>
    <xf numFmtId="0" fontId="2" fillId="0" borderId="0" xfId="0" applyFont="1" applyBorder="1"/>
  </cellXfs>
  <cellStyles count="1">
    <cellStyle name="Обычный" xfId="0" builtinId="0"/>
  </cellStyles>
  <dxfs count="10">
    <dxf>
      <numFmt numFmtId="164" formatCode="#,##0.0000"/>
    </dxf>
    <dxf>
      <numFmt numFmtId="164" formatCode="#,##0.0000"/>
    </dxf>
    <dxf>
      <numFmt numFmtId="164" formatCode="#,##0.0000"/>
    </dxf>
    <dxf>
      <numFmt numFmtId="164" formatCode="#,##0.0000"/>
    </dxf>
    <dxf>
      <numFmt numFmtId="164" formatCode="#,##0.0000"/>
    </dxf>
    <dxf>
      <numFmt numFmtId="164" formatCode="#,##0.0000"/>
    </dxf>
    <dxf>
      <numFmt numFmtId="164" formatCode="#,##0.0000"/>
    </dxf>
    <dxf>
      <numFmt numFmtId="0" formatCode="General"/>
    </dxf>
    <dxf>
      <font>
        <b/>
        <i val="0"/>
        <sz val="11"/>
        <color theme="1" tint="0.34998626667073579"/>
        <name val="Arial"/>
        <family val="2"/>
        <charset val="204"/>
        <scheme val="none"/>
      </font>
      <border>
        <bottom style="thin">
          <color theme="4"/>
        </bottom>
        <vertical/>
        <horizontal/>
      </border>
    </dxf>
    <dxf>
      <font>
        <sz val="10"/>
        <color theme="1" tint="0.34998626667073579"/>
        <name val="Arial"/>
        <family val="2"/>
        <charset val="204"/>
        <scheme val="none"/>
      </font>
      <fill>
        <patternFill>
          <bgColor rgb="FFEAF0F6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9" defaultPivotStyle="PivotStyleLight16">
    <tableStyle name="SlicerStyleLight1_altered" pivot="0" table="0" count="10" xr9:uid="{BD7E4CDA-1354-443B-95AE-3775AD2A56AD}">
      <tableStyleElement type="wholeTable" dxfId="9"/>
      <tableStyleElement type="headerRow" dxfId="8"/>
    </tableStyle>
  </tableStyles>
  <colors>
    <mruColors>
      <color rgb="FF87A9CB"/>
      <color rgb="FFEAF0F6"/>
      <color rgb="FFBCCFE2"/>
    </mruColors>
  </colors>
  <extLst>
    <ext xmlns:x14="http://schemas.microsoft.com/office/spreadsheetml/2009/9/main" uri="{46F421CA-312F-682f-3DD2-61675219B42D}">
      <x14:dxfs count="8">
        <dxf>
          <font>
            <sz val="10"/>
            <color theme="1" tint="0.34998626667073579"/>
            <name val="Arial"/>
            <family val="2"/>
            <charset val="204"/>
            <scheme val="none"/>
          </font>
          <fill>
            <patternFill patternType="solid">
              <fgColor auto="1"/>
              <bgColor rgb="FFBCCFE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EAF0F6"/>
              <bgColor rgb="FFEAF0F6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0"/>
            <color theme="1" tint="0.34998626667073579"/>
            <name val="Arial"/>
            <family val="2"/>
            <charset val="204"/>
            <scheme val="none"/>
          </font>
          <fill>
            <patternFill patternType="solid">
              <fgColor auto="1"/>
              <bgColor rgb="FFBCCFE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0"/>
            <color theme="1" tint="0.34998626667073579"/>
            <name val="Arial"/>
            <family val="2"/>
            <charset val="204"/>
            <scheme val="none"/>
          </font>
          <fill>
            <patternFill patternType="solid">
              <fgColor rgb="FFEAF0F6"/>
              <bgColor rgb="FFEAF0F6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0"/>
            <color rgb="FF828282"/>
            <name val="Arial"/>
            <family val="2"/>
            <charset val="204"/>
            <scheme val="none"/>
          </font>
          <fill>
            <patternFill patternType="solid">
              <fgColor theme="4" tint="0.79995117038483843"/>
              <bgColor rgb="FFBCCFE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sz val="10"/>
            <color theme="1" tint="0.34998626667073579"/>
            <name val="Arial"/>
            <family val="2"/>
            <charset val="204"/>
            <scheme val="none"/>
          </font>
          <fill>
            <patternFill patternType="solid">
              <fgColor rgb="FFBCCFE2"/>
              <bgColor rgb="FFBCCFE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sz val="10"/>
            <color rgb="FF828282"/>
            <name val="Arial"/>
            <family val="2"/>
            <charset val="204"/>
            <scheme val="none"/>
          </font>
          <fill>
            <patternFill patternType="solid">
              <fgColor rgb="FFEAF0F6"/>
              <bgColor rgb="FFEAF0F6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sz val="10"/>
            <color theme="1" tint="0.34998626667073579"/>
            <name val="Arial"/>
            <family val="2"/>
            <charset val="204"/>
            <scheme val="none"/>
          </font>
          <fill>
            <patternFill patternType="solid">
              <fgColor rgb="FFEAF0F6"/>
              <bgColor rgb="FFEAF0F6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1_altered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reports!$A$2</c:f>
              <c:strCache>
                <c:ptCount val="1"/>
                <c:pt idx="0">
                  <c:v>EGP</c:v>
                </c:pt>
              </c:strCache>
            </c:strRef>
          </c:tx>
          <c:spPr>
            <a:ln w="25400" cap="rnd">
              <a:solidFill>
                <a:srgbClr val="87A9CB"/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36576" tIns="180000" rIns="36576" bIns="25200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reports!$B$2:$H$2</c:f>
            </c:numRef>
          </c:val>
          <c:smooth val="0"/>
          <c:extLst>
            <c:ext xmlns:c16="http://schemas.microsoft.com/office/drawing/2014/chart" uri="{C3380CC4-5D6E-409C-BE32-E72D297353CC}">
              <c16:uniqueId val="{00000000-2272-44CE-8DC5-43396F561834}"/>
            </c:ext>
          </c:extLst>
        </c:ser>
        <c:ser>
          <c:idx val="1"/>
          <c:order val="1"/>
          <c:tx>
            <c:strRef>
              <c:f>reports!$A$3</c:f>
              <c:strCache>
                <c:ptCount val="1"/>
                <c:pt idx="0">
                  <c:v>EUR</c:v>
                </c:pt>
              </c:strCache>
            </c:strRef>
          </c:tx>
          <c:spPr>
            <a:ln w="25400" cap="rnd">
              <a:solidFill>
                <a:srgbClr val="87A9CB"/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36576" tIns="216000" rIns="36576" bIns="25200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reports!$B$3:$H$3</c:f>
            </c:numRef>
          </c:val>
          <c:smooth val="0"/>
          <c:extLst>
            <c:ext xmlns:c16="http://schemas.microsoft.com/office/drawing/2014/chart" uri="{C3380CC4-5D6E-409C-BE32-E72D297353CC}">
              <c16:uniqueId val="{00000001-2272-44CE-8DC5-43396F561834}"/>
            </c:ext>
          </c:extLst>
        </c:ser>
        <c:ser>
          <c:idx val="2"/>
          <c:order val="2"/>
          <c:tx>
            <c:strRef>
              <c:f>reports!$A$4</c:f>
              <c:strCache>
                <c:ptCount val="1"/>
                <c:pt idx="0">
                  <c:v>THB</c:v>
                </c:pt>
              </c:strCache>
            </c:strRef>
          </c:tx>
          <c:spPr>
            <a:ln w="25400" cap="rnd">
              <a:solidFill>
                <a:srgbClr val="87A9CB"/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36576" tIns="180000" rIns="36576" bIns="25200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reports!$B$4:$H$4</c:f>
            </c:numRef>
          </c:val>
          <c:smooth val="0"/>
          <c:extLst>
            <c:ext xmlns:c16="http://schemas.microsoft.com/office/drawing/2014/chart" uri="{C3380CC4-5D6E-409C-BE32-E72D297353CC}">
              <c16:uniqueId val="{00000002-2272-44CE-8DC5-43396F561834}"/>
            </c:ext>
          </c:extLst>
        </c:ser>
        <c:ser>
          <c:idx val="3"/>
          <c:order val="3"/>
          <c:tx>
            <c:strRef>
              <c:f>reports!$A$5</c:f>
              <c:strCache>
                <c:ptCount val="1"/>
                <c:pt idx="0">
                  <c:v>TRY</c:v>
                </c:pt>
              </c:strCache>
            </c:strRef>
          </c:tx>
          <c:spPr>
            <a:ln w="25400" cap="rnd">
              <a:solidFill>
                <a:srgbClr val="87A9CB"/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36576" tIns="180000" rIns="36576" bIns="25200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reports!$B$5:$H$5</c:f>
            </c:numRef>
          </c:val>
          <c:smooth val="0"/>
          <c:extLst>
            <c:ext xmlns:c16="http://schemas.microsoft.com/office/drawing/2014/chart" uri="{C3380CC4-5D6E-409C-BE32-E72D297353CC}">
              <c16:uniqueId val="{00000003-2272-44CE-8DC5-43396F561834}"/>
            </c:ext>
          </c:extLst>
        </c:ser>
        <c:ser>
          <c:idx val="4"/>
          <c:order val="4"/>
          <c:tx>
            <c:strRef>
              <c:f>reports!$A$6</c:f>
              <c:strCache>
                <c:ptCount val="1"/>
                <c:pt idx="0">
                  <c:v>USD</c:v>
                </c:pt>
              </c:strCache>
            </c:strRef>
          </c:tx>
          <c:spPr>
            <a:ln w="25400" cap="rnd">
              <a:solidFill>
                <a:srgbClr val="87A9CB"/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6576" tIns="180000" rIns="36576" bIns="25200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reports!$B$6:$H$6</c:f>
              <c:numCache>
                <c:formatCode>#\ ##0.0000</c:formatCode>
                <c:ptCount val="7"/>
                <c:pt idx="0">
                  <c:v>76.763499999999993</c:v>
                </c:pt>
                <c:pt idx="1">
                  <c:v>77.183499999999995</c:v>
                </c:pt>
                <c:pt idx="2">
                  <c:v>78.363299999999995</c:v>
                </c:pt>
                <c:pt idx="3">
                  <c:v>81.559799999999996</c:v>
                </c:pt>
                <c:pt idx="4">
                  <c:v>83.875600000000006</c:v>
                </c:pt>
                <c:pt idx="5">
                  <c:v>86.5411</c:v>
                </c:pt>
                <c:pt idx="6">
                  <c:v>84.275000000000006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72-44CE-8DC5-43396F561834}"/>
            </c:ext>
          </c:extLst>
        </c:ser>
        <c:ser>
          <c:idx val="5"/>
          <c:order val="5"/>
          <c:tx>
            <c:strRef>
              <c:f>reports!$A$7</c:f>
              <c:strCache>
                <c:ptCount val="1"/>
                <c:pt idx="0">
                  <c:v>VND</c:v>
                </c:pt>
              </c:strCache>
            </c:strRef>
          </c:tx>
          <c:spPr>
            <a:ln w="28575" cap="rnd">
              <a:solidFill>
                <a:srgbClr val="87A9CB"/>
              </a:solidFill>
              <a:round/>
            </a:ln>
            <a:effectLst/>
          </c:spPr>
          <c:marker>
            <c:symbol val="none"/>
          </c:marker>
          <c:dLbls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horzOverflow="clip" vert="horz" wrap="square" lIns="36576" tIns="180000" rIns="36576" bIns="25200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reports!$B$7:$H$7</c:f>
            </c:numRef>
          </c:val>
          <c:smooth val="0"/>
          <c:extLst>
            <c:ext xmlns:c16="http://schemas.microsoft.com/office/drawing/2014/chart" uri="{C3380CC4-5D6E-409C-BE32-E72D297353CC}">
              <c16:uniqueId val="{00000005-2272-44CE-8DC5-43396F5618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21851071"/>
        <c:axId val="1721848159"/>
      </c:lineChart>
      <c:catAx>
        <c:axId val="172185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1721848159"/>
        <c:crosses val="autoZero"/>
        <c:auto val="1"/>
        <c:lblAlgn val="ctr"/>
        <c:lblOffset val="100"/>
        <c:noMultiLvlLbl val="0"/>
      </c:catAx>
      <c:valAx>
        <c:axId val="1721848159"/>
        <c:scaling>
          <c:orientation val="minMax"/>
        </c:scaling>
        <c:delete val="1"/>
        <c:axPos val="l"/>
        <c:numFmt formatCode="#\ ##0.0000" sourceLinked="1"/>
        <c:majorTickMark val="none"/>
        <c:minorTickMark val="none"/>
        <c:tickLblPos val="nextTo"/>
        <c:crossAx val="172185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EAF0F6"/>
    </a:solidFill>
    <a:ln w="9525" cap="rnd" cmpd="sng" algn="ctr">
      <a:noFill/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ru-RU" sz="1400"/>
              <a:t>Динамика за все время</a:t>
            </a:r>
          </a:p>
        </c:rich>
      </c:tx>
      <c:layout>
        <c:manualLayout>
          <c:xMode val="edge"/>
          <c:yMode val="edge"/>
          <c:x val="1.4950097450752459E-2"/>
          <c:y val="2.162160935143116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reports!$A$2</c:f>
              <c:strCache>
                <c:ptCount val="1"/>
                <c:pt idx="0">
                  <c:v>EGP</c:v>
                </c:pt>
              </c:strCache>
            </c:strRef>
          </c:tx>
          <c:spPr>
            <a:ln w="28575" cap="rnd">
              <a:solidFill>
                <a:schemeClr val="accent1">
                  <a:shade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tIns="180000" bIns="252000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reports!$B$2:$H$2</c:f>
            </c:numRef>
          </c:val>
          <c:smooth val="0"/>
          <c:extLst>
            <c:ext xmlns:c16="http://schemas.microsoft.com/office/drawing/2014/chart" uri="{C3380CC4-5D6E-409C-BE32-E72D297353CC}">
              <c16:uniqueId val="{00000000-A38A-4FC7-94B1-02BED5E31603}"/>
            </c:ext>
          </c:extLst>
        </c:ser>
        <c:ser>
          <c:idx val="1"/>
          <c:order val="1"/>
          <c:tx>
            <c:strRef>
              <c:f>reports!$A$3</c:f>
              <c:strCache>
                <c:ptCount val="1"/>
                <c:pt idx="0">
                  <c:v>EUR</c:v>
                </c:pt>
              </c:strCache>
            </c:strRef>
          </c:tx>
          <c:spPr>
            <a:ln w="28575" cap="rnd">
              <a:solidFill>
                <a:schemeClr val="accent1">
                  <a:shade val="7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tIns="216000" bIns="252000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reports!$B$3:$H$3</c:f>
            </c:numRef>
          </c:val>
          <c:smooth val="0"/>
          <c:extLst>
            <c:ext xmlns:c16="http://schemas.microsoft.com/office/drawing/2014/chart" uri="{C3380CC4-5D6E-409C-BE32-E72D297353CC}">
              <c16:uniqueId val="{00000001-A38A-4FC7-94B1-02BED5E31603}"/>
            </c:ext>
          </c:extLst>
        </c:ser>
        <c:ser>
          <c:idx val="2"/>
          <c:order val="2"/>
          <c:tx>
            <c:strRef>
              <c:f>reports!$A$4</c:f>
              <c:strCache>
                <c:ptCount val="1"/>
                <c:pt idx="0">
                  <c:v>THB</c:v>
                </c:pt>
              </c:strCache>
            </c:strRef>
          </c:tx>
          <c:spPr>
            <a:ln w="28575" cap="rnd">
              <a:solidFill>
                <a:schemeClr val="accent1">
                  <a:shade val="9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tIns="180000" bIns="252000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reports!$B$4:$H$4</c:f>
            </c:numRef>
          </c:val>
          <c:smooth val="0"/>
          <c:extLst>
            <c:ext xmlns:c16="http://schemas.microsoft.com/office/drawing/2014/chart" uri="{C3380CC4-5D6E-409C-BE32-E72D297353CC}">
              <c16:uniqueId val="{00000002-A38A-4FC7-94B1-02BED5E31603}"/>
            </c:ext>
          </c:extLst>
        </c:ser>
        <c:ser>
          <c:idx val="3"/>
          <c:order val="3"/>
          <c:tx>
            <c:strRef>
              <c:f>reports!$A$5</c:f>
              <c:strCache>
                <c:ptCount val="1"/>
                <c:pt idx="0">
                  <c:v>TRY</c:v>
                </c:pt>
              </c:strCache>
            </c:strRef>
          </c:tx>
          <c:spPr>
            <a:ln w="28575" cap="rnd">
              <a:solidFill>
                <a:schemeClr val="accent1">
                  <a:tint val="9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tIns="180000" bIns="252000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reports!$B$5:$H$5</c:f>
            </c:numRef>
          </c:val>
          <c:smooth val="0"/>
          <c:extLst>
            <c:ext xmlns:c16="http://schemas.microsoft.com/office/drawing/2014/chart" uri="{C3380CC4-5D6E-409C-BE32-E72D297353CC}">
              <c16:uniqueId val="{00000003-A38A-4FC7-94B1-02BED5E31603}"/>
            </c:ext>
          </c:extLst>
        </c:ser>
        <c:ser>
          <c:idx val="4"/>
          <c:order val="4"/>
          <c:tx>
            <c:strRef>
              <c:f>reports!$A$6</c:f>
              <c:strCache>
                <c:ptCount val="1"/>
                <c:pt idx="0">
                  <c:v>USD</c:v>
                </c:pt>
              </c:strCache>
            </c:strRef>
          </c:tx>
          <c:spPr>
            <a:ln w="28575" cap="rnd">
              <a:solidFill>
                <a:schemeClr val="accent1">
                  <a:tint val="7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tIns="180000" bIns="25200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reports!$B$6:$H$6</c:f>
              <c:numCache>
                <c:formatCode>#\ ##0.0000</c:formatCode>
                <c:ptCount val="7"/>
                <c:pt idx="0">
                  <c:v>76.763499999999993</c:v>
                </c:pt>
                <c:pt idx="1">
                  <c:v>77.183499999999995</c:v>
                </c:pt>
                <c:pt idx="2">
                  <c:v>78.363299999999995</c:v>
                </c:pt>
                <c:pt idx="3">
                  <c:v>81.559799999999996</c:v>
                </c:pt>
                <c:pt idx="4">
                  <c:v>83.875600000000006</c:v>
                </c:pt>
                <c:pt idx="5">
                  <c:v>86.5411</c:v>
                </c:pt>
                <c:pt idx="6">
                  <c:v>84.275000000000006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38A-4FC7-94B1-02BED5E31603}"/>
            </c:ext>
          </c:extLst>
        </c:ser>
        <c:ser>
          <c:idx val="5"/>
          <c:order val="5"/>
          <c:tx>
            <c:strRef>
              <c:f>reports!$A$7</c:f>
              <c:strCache>
                <c:ptCount val="1"/>
                <c:pt idx="0">
                  <c:v>VND</c:v>
                </c:pt>
              </c:strCache>
            </c:strRef>
          </c:tx>
          <c:spPr>
            <a:ln w="28575" cap="rnd">
              <a:solidFill>
                <a:schemeClr val="accent1">
                  <a:tint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tIns="180000" bIns="252000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reports!$B$1:$H$1</c:f>
              <c:strCache>
                <c:ptCount val="7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32</c:v>
                </c:pt>
                <c:pt idx="4">
                  <c:v>35</c:v>
                </c:pt>
                <c:pt idx="5">
                  <c:v>36</c:v>
                </c:pt>
                <c:pt idx="6">
                  <c:v>38</c:v>
                </c:pt>
              </c:strCache>
            </c:strRef>
          </c:cat>
          <c:val>
            <c:numRef>
              <c:f>reports!$B$7:$H$7</c:f>
            </c:numRef>
          </c:val>
          <c:smooth val="0"/>
          <c:extLst>
            <c:ext xmlns:c16="http://schemas.microsoft.com/office/drawing/2014/chart" uri="{C3380CC4-5D6E-409C-BE32-E72D297353CC}">
              <c16:uniqueId val="{00000005-A38A-4FC7-94B1-02BED5E316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21851071"/>
        <c:axId val="1721848159"/>
      </c:lineChart>
      <c:catAx>
        <c:axId val="172185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ru-RU"/>
          </a:p>
        </c:txPr>
        <c:crossAx val="1721848159"/>
        <c:crosses val="autoZero"/>
        <c:auto val="1"/>
        <c:lblAlgn val="ctr"/>
        <c:lblOffset val="100"/>
        <c:noMultiLvlLbl val="0"/>
      </c:catAx>
      <c:valAx>
        <c:axId val="1721848159"/>
        <c:scaling>
          <c:orientation val="minMax"/>
        </c:scaling>
        <c:delete val="1"/>
        <c:axPos val="l"/>
        <c:numFmt formatCode="#\ ##0.0000" sourceLinked="1"/>
        <c:majorTickMark val="none"/>
        <c:minorTickMark val="none"/>
        <c:tickLblPos val="nextTo"/>
        <c:crossAx val="172185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rnd" cmpd="sng" algn="ctr">
      <a:noFill/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2238375</xdr:colOff>
      <xdr:row>13</xdr:row>
      <xdr:rowOff>9525</xdr:rowOff>
    </xdr:from>
    <xdr:to>
      <xdr:col>10</xdr:col>
      <xdr:colOff>314325</xdr:colOff>
      <xdr:row>31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BE613F0-B5DD-48CB-8C80-D4CD7741F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133351</xdr:colOff>
      <xdr:row>15</xdr:row>
      <xdr:rowOff>152400</xdr:rowOff>
    </xdr:from>
    <xdr:to>
      <xdr:col>2</xdr:col>
      <xdr:colOff>476251</xdr:colOff>
      <xdr:row>26</xdr:row>
      <xdr:rowOff>38100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Код валюты / Номер недели 1">
              <a:extLst>
                <a:ext uri="{FF2B5EF4-FFF2-40B4-BE49-F238E27FC236}">
                  <a16:creationId xmlns:a16="http://schemas.microsoft.com/office/drawing/2014/main" id="{4CE73BC5-B9EE-4E2E-80B1-2A2F0A19452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д валюты / Номер недели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1" y="4724400"/>
              <a:ext cx="1600200" cy="1981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466723</xdr:colOff>
      <xdr:row>21</xdr:row>
      <xdr:rowOff>57147</xdr:rowOff>
    </xdr:from>
    <xdr:to>
      <xdr:col>25</xdr:col>
      <xdr:colOff>352424</xdr:colOff>
      <xdr:row>41</xdr:row>
      <xdr:rowOff>66674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7344C815-3FA6-4A40-B78B-6DFDABA51C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12</xdr:col>
      <xdr:colOff>619125</xdr:colOff>
      <xdr:row>21</xdr:row>
      <xdr:rowOff>95251</xdr:rowOff>
    </xdr:from>
    <xdr:to>
      <xdr:col>15</xdr:col>
      <xdr:colOff>504825</xdr:colOff>
      <xdr:row>32</xdr:row>
      <xdr:rowOff>85726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7" name="Код валюты / Номер недели">
              <a:extLst>
                <a:ext uri="{FF2B5EF4-FFF2-40B4-BE49-F238E27FC236}">
                  <a16:creationId xmlns:a16="http://schemas.microsoft.com/office/drawing/2014/main" id="{19A02EDF-D229-49A1-B297-D812CCF3C5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д валюты / Номер недели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91575" y="2990851"/>
              <a:ext cx="1828800" cy="1981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 таблицы. Срезы таблиц не поддерживаются в этой версии Excel.
Если фигура была изменена в более ранней версии Excel или если книга была сохранена в Excel 2007 или более ранней версии, использовать срез невозможно.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599CFD2-8286-4962-80EC-07E02D80756C}" autoFormatId="16" applyNumberFormats="0" applyBorderFormats="0" applyFontFormats="0" applyPatternFormats="0" applyAlignmentFormats="0" applyWidthHeightFormats="0">
  <queryTableRefresh nextId="24">
    <queryTableFields count="8">
      <queryTableField id="22" name="Код валюты / Номер недели" tableColumnId="19"/>
      <queryTableField id="3" name="28" tableColumnId="3"/>
      <queryTableField id="4" name="29" tableColumnId="4"/>
      <queryTableField id="7" name="30" tableColumnId="1"/>
      <queryTableField id="8" name="32" tableColumnId="2"/>
      <queryTableField id="9" name="35" tableColumnId="6"/>
      <queryTableField id="10" name="36" tableColumnId="7"/>
      <queryTableField id="11" name="38" tableColumnId="8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д_валюты___Номер_недели" xr10:uid="{A52DB672-7C88-493E-9EE3-BA88471D9480}" sourceName="Код валюты / Номер недели">
  <extLst>
    <x:ext xmlns:x15="http://schemas.microsoft.com/office/spreadsheetml/2010/11/main" uri="{2F2917AC-EB37-4324-AD4E-5DD8C200BD13}">
      <x15:tableSlicerCache tableId="1" column="1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д валюты / Номер недели 1" xr10:uid="{441AAF83-17CB-471A-ACC0-6875037BF961}" cache="Срез_Код_валюты___Номер_недели" caption="Валюта" style="SlicerStyleLight1_altered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д валюты / Номер недели" xr10:uid="{6096AE66-989A-45A0-9192-4792EFF099C6}" cache="Срез_Код_валюты___Номер_недели" caption="Валюта" style="SlicerStyleLight1_altered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C2297-BF5C-4706-8E31-BA7BDE043705}" name="avg_rate_per_weeknum" displayName="avg_rate_per_weeknum" ref="A1:H7" tableType="queryTable" totalsRowShown="0">
  <autoFilter ref="A1:H7" xr:uid="{F18C2297-BF5C-4706-8E31-BA7BDE043705}">
    <filterColumn colId="0">
      <filters>
        <filter val="USD"/>
      </filters>
    </filterColumn>
  </autoFilter>
  <tableColumns count="8">
    <tableColumn id="19" xr3:uid="{2029FDF6-7C5B-4666-9413-556F37B44807}" uniqueName="19" name="Код валюты / Номер недели" queryTableFieldId="22" dataDxfId="7"/>
    <tableColumn id="3" xr3:uid="{394A32EC-7C27-484A-B601-4A193B6088AD}" uniqueName="3" name="28" queryTableFieldId="3" dataDxfId="6"/>
    <tableColumn id="4" xr3:uid="{56CFB135-EF3F-4F68-9C43-11FB54A7E242}" uniqueName="4" name="29" queryTableFieldId="4" dataDxfId="5"/>
    <tableColumn id="1" xr3:uid="{EA1416EF-E049-42A8-9BB2-6691FB74690B}" uniqueName="1" name="30" queryTableFieldId="7" dataDxfId="4"/>
    <tableColumn id="2" xr3:uid="{EEDB144F-7C49-48C7-A1C9-046B35EE020D}" uniqueName="2" name="32" queryTableFieldId="8" dataDxfId="3"/>
    <tableColumn id="6" xr3:uid="{3E78D7CC-59AC-4AA4-8F09-10C9B829B42C}" uniqueName="6" name="35" queryTableFieldId="9" dataDxfId="2"/>
    <tableColumn id="7" xr3:uid="{2CA5D660-AC0D-4132-9267-E66B084F1BF5}" uniqueName="7" name="36" queryTableFieldId="10" dataDxfId="1"/>
    <tableColumn id="8" xr3:uid="{CEA48F7C-B4B5-4AFF-A785-E779250A57DD}" uniqueName="8" name="38" queryTableFieldId="11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D3FCDE-D1B1-49D2-ADB5-11664D155C5F}" name="Параметры" displayName="Параметры" ref="A1:B2" totalsRowShown="0">
  <autoFilter ref="A1:B2" xr:uid="{39D3FCDE-D1B1-49D2-ADB5-11664D155C5F}"/>
  <tableColumns count="2">
    <tableColumn id="2" xr3:uid="{9FECD8D2-C9E4-497A-A754-A103B5A4222E}" name="Параметр"/>
    <tableColumn id="1" xr3:uid="{18BB8807-D3E3-4A78-80C2-5F6C950775F3}" name="Значение">
      <calculatedColumnFormula array="1">LEFT(CELL("имяфайла",B2),FIND("\[",CELL("имяфайла",B2),1)-1)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27DB2-D0E8-47B5-91F7-A49F60F5C2C4}">
  <dimension ref="B1:J32"/>
  <sheetViews>
    <sheetView showGridLines="0" tabSelected="1" workbookViewId="0">
      <pane xSplit="3" topLeftCell="D1" activePane="topRight" state="frozen"/>
      <selection pane="topRight" activeCell="M11" sqref="M11"/>
    </sheetView>
  </sheetViews>
  <sheetFormatPr defaultColWidth="12.33203125" defaultRowHeight="15" x14ac:dyDescent="0.4"/>
  <cols>
    <col min="1" max="1" width="2.59765625" style="15" customWidth="1"/>
    <col min="2" max="2" width="14.9296875" style="16" customWidth="1"/>
    <col min="3" max="3" width="31.3984375" style="16" customWidth="1"/>
    <col min="4" max="16384" width="12.33203125" style="15"/>
  </cols>
  <sheetData>
    <row r="1" spans="2:10" s="4" customFormat="1" ht="10.5" customHeight="1" x14ac:dyDescent="0.4"/>
    <row r="2" spans="2:10" s="4" customFormat="1" ht="42" customHeight="1" x14ac:dyDescent="0.4">
      <c r="B2" s="11" t="s">
        <v>16</v>
      </c>
    </row>
    <row r="3" spans="2:10" s="10" customFormat="1" ht="30" customHeight="1" x14ac:dyDescent="0.45">
      <c r="B3" s="7"/>
      <c r="C3" s="8" t="str" cm="1">
        <f t="array" ref="C3:J9">avg_rate_per_weeknum[#All]</f>
        <v>Код валюты / Номер недели</v>
      </c>
      <c r="D3" s="9" t="str">
        <v>28</v>
      </c>
      <c r="E3" s="9" t="str">
        <v>29</v>
      </c>
      <c r="F3" s="9" t="str">
        <v>30</v>
      </c>
      <c r="G3" s="9" t="str">
        <v>32</v>
      </c>
      <c r="H3" s="9" t="str">
        <v>35</v>
      </c>
      <c r="I3" s="9" t="str">
        <v>36</v>
      </c>
      <c r="J3" s="9" t="str">
        <v>38</v>
      </c>
    </row>
    <row r="4" spans="2:10" s="19" customFormat="1" ht="31.5" customHeight="1" x14ac:dyDescent="0.4">
      <c r="B4" s="20"/>
      <c r="C4" s="5" t="str">
        <v>EGP</v>
      </c>
      <c r="D4" s="6">
        <v>1.5567</v>
      </c>
      <c r="E4" s="6">
        <v>1.5342</v>
      </c>
      <c r="F4" s="6">
        <v>1.5329999999999999</v>
      </c>
      <c r="G4" s="6">
        <v>1.6347</v>
      </c>
      <c r="H4" s="6">
        <v>1.6569</v>
      </c>
      <c r="I4" s="6">
        <v>1.7015</v>
      </c>
      <c r="J4" s="6">
        <v>1.6176999999999999</v>
      </c>
    </row>
    <row r="5" spans="2:10" s="19" customFormat="1" ht="31.5" customHeight="1" x14ac:dyDescent="0.4">
      <c r="B5" s="20"/>
      <c r="C5" s="5" t="str">
        <v>EUR</v>
      </c>
      <c r="D5" s="6">
        <v>87.685000000000002</v>
      </c>
      <c r="E5" s="6">
        <v>88.17</v>
      </c>
      <c r="F5" s="6">
        <v>89.525000000000006</v>
      </c>
      <c r="G5" s="6">
        <v>94.100800000000007</v>
      </c>
      <c r="H5" s="6">
        <v>97.978300000000004</v>
      </c>
      <c r="I5" s="6">
        <v>100.48820000000001</v>
      </c>
      <c r="J5" s="6">
        <v>97.170599999999993</v>
      </c>
    </row>
    <row r="6" spans="2:10" s="19" customFormat="1" ht="31.5" customHeight="1" x14ac:dyDescent="0.4">
      <c r="B6" s="20"/>
      <c r="C6" s="5" t="str">
        <v>THB</v>
      </c>
      <c r="D6" s="6">
        <v>2.3056000000000001</v>
      </c>
      <c r="E6" s="6">
        <v>2.3081999999999998</v>
      </c>
      <c r="F6" s="6">
        <v>2.3246000000000002</v>
      </c>
      <c r="G6" s="6">
        <v>2.4582999999999999</v>
      </c>
      <c r="H6" s="6">
        <v>2.5648</v>
      </c>
      <c r="I6" s="6">
        <v>2.6168</v>
      </c>
      <c r="J6" s="6">
        <v>2.5327999999999999</v>
      </c>
    </row>
    <row r="7" spans="2:10" s="19" customFormat="1" ht="31.5" customHeight="1" x14ac:dyDescent="0.4">
      <c r="B7" s="20"/>
      <c r="C7" s="5" t="str">
        <v>TRY</v>
      </c>
      <c r="D7" s="6">
        <v>1.6415999999999999</v>
      </c>
      <c r="E7" s="6">
        <v>1.6456999999999999</v>
      </c>
      <c r="F7" s="6">
        <v>1.6632</v>
      </c>
      <c r="G7" s="6">
        <v>1.7161</v>
      </c>
      <c r="H7" s="6">
        <v>1.7482</v>
      </c>
      <c r="I7" s="6">
        <v>1.7951999999999999</v>
      </c>
      <c r="J7" s="6">
        <v>1.7343999999999999</v>
      </c>
    </row>
    <row r="8" spans="2:10" s="19" customFormat="1" ht="31.5" customHeight="1" x14ac:dyDescent="0.4">
      <c r="B8" s="20"/>
      <c r="C8" s="5" t="str">
        <v>USD</v>
      </c>
      <c r="D8" s="6">
        <v>76.763499999999993</v>
      </c>
      <c r="E8" s="6">
        <v>77.183499999999995</v>
      </c>
      <c r="F8" s="6">
        <v>78.363299999999995</v>
      </c>
      <c r="G8" s="6">
        <v>81.559799999999996</v>
      </c>
      <c r="H8" s="6">
        <v>83.875600000000006</v>
      </c>
      <c r="I8" s="6">
        <v>86.5411</v>
      </c>
      <c r="J8" s="6">
        <v>84.275000000000006</v>
      </c>
    </row>
    <row r="9" spans="2:10" s="19" customFormat="1" ht="31.5" customHeight="1" x14ac:dyDescent="0.4">
      <c r="B9" s="20"/>
      <c r="C9" s="5" t="str">
        <v>VND</v>
      </c>
      <c r="D9" s="6">
        <v>3.0000000000000001E-3</v>
      </c>
      <c r="E9" s="6">
        <v>3.0000000000000001E-3</v>
      </c>
      <c r="F9" s="6">
        <v>3.0999999999999999E-3</v>
      </c>
      <c r="G9" s="6">
        <v>3.2000000000000002E-3</v>
      </c>
      <c r="H9" s="6">
        <v>3.3E-3</v>
      </c>
      <c r="I9" s="6">
        <v>3.3999999999999998E-3</v>
      </c>
      <c r="J9" s="6">
        <v>3.3E-3</v>
      </c>
    </row>
    <row r="10" spans="2:10" s="3" customFormat="1" x14ac:dyDescent="0.4">
      <c r="C10" s="4"/>
    </row>
    <row r="11" spans="2:10" s="3" customFormat="1" x14ac:dyDescent="0.4">
      <c r="B11" s="18" t="s">
        <v>17</v>
      </c>
      <c r="C11" s="4"/>
    </row>
    <row r="12" spans="2:10" s="3" customFormat="1" x14ac:dyDescent="0.4">
      <c r="B12" s="12"/>
      <c r="C12" s="4"/>
    </row>
    <row r="13" spans="2:10" s="3" customFormat="1" x14ac:dyDescent="0.4">
      <c r="B13" s="4"/>
      <c r="C13" s="4"/>
    </row>
    <row r="14" spans="2:10" s="13" customFormat="1" ht="10.5" customHeight="1" x14ac:dyDescent="0.4">
      <c r="B14" s="14"/>
      <c r="C14" s="14"/>
    </row>
    <row r="15" spans="2:10" s="13" customFormat="1" ht="17.649999999999999" x14ac:dyDescent="0.5">
      <c r="B15" s="17" t="s">
        <v>18</v>
      </c>
      <c r="C15" s="14"/>
    </row>
    <row r="16" spans="2:10" s="13" customFormat="1" x14ac:dyDescent="0.4">
      <c r="B16" s="14"/>
      <c r="C16" s="14"/>
    </row>
    <row r="17" spans="2:3" s="13" customFormat="1" x14ac:dyDescent="0.4">
      <c r="B17" s="14"/>
      <c r="C17" s="14"/>
    </row>
    <row r="18" spans="2:3" s="13" customFormat="1" x14ac:dyDescent="0.4">
      <c r="B18" s="14"/>
      <c r="C18" s="14"/>
    </row>
    <row r="19" spans="2:3" s="13" customFormat="1" x14ac:dyDescent="0.4">
      <c r="B19" s="14"/>
      <c r="C19" s="14"/>
    </row>
    <row r="20" spans="2:3" s="13" customFormat="1" x14ac:dyDescent="0.4">
      <c r="B20" s="14"/>
      <c r="C20" s="14"/>
    </row>
    <row r="21" spans="2:3" s="13" customFormat="1" x14ac:dyDescent="0.4">
      <c r="B21" s="14"/>
      <c r="C21" s="14"/>
    </row>
    <row r="22" spans="2:3" s="13" customFormat="1" x14ac:dyDescent="0.4">
      <c r="B22" s="14"/>
      <c r="C22" s="14"/>
    </row>
    <row r="23" spans="2:3" s="13" customFormat="1" x14ac:dyDescent="0.4">
      <c r="B23" s="14"/>
      <c r="C23" s="14"/>
    </row>
    <row r="24" spans="2:3" s="13" customFormat="1" x14ac:dyDescent="0.4">
      <c r="B24" s="14"/>
      <c r="C24" s="14"/>
    </row>
    <row r="25" spans="2:3" s="13" customFormat="1" x14ac:dyDescent="0.4">
      <c r="B25" s="14"/>
      <c r="C25" s="14"/>
    </row>
    <row r="26" spans="2:3" s="13" customFormat="1" x14ac:dyDescent="0.4">
      <c r="B26" s="14"/>
      <c r="C26" s="14"/>
    </row>
    <row r="27" spans="2:3" s="13" customFormat="1" x14ac:dyDescent="0.4">
      <c r="B27" s="14"/>
      <c r="C27" s="14"/>
    </row>
    <row r="28" spans="2:3" s="13" customFormat="1" x14ac:dyDescent="0.4">
      <c r="B28" s="14"/>
      <c r="C28" s="14"/>
    </row>
    <row r="29" spans="2:3" s="13" customFormat="1" x14ac:dyDescent="0.4">
      <c r="B29" s="14"/>
      <c r="C29" s="14"/>
    </row>
    <row r="30" spans="2:3" s="13" customFormat="1" x14ac:dyDescent="0.4">
      <c r="B30" s="14"/>
      <c r="C30" s="14"/>
    </row>
    <row r="31" spans="2:3" s="13" customFormat="1" x14ac:dyDescent="0.4">
      <c r="B31" s="14"/>
      <c r="C31" s="14"/>
    </row>
    <row r="32" spans="2:3" s="13" customFormat="1" x14ac:dyDescent="0.4">
      <c r="B32" s="14"/>
      <c r="C32" s="14"/>
    </row>
  </sheetData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283A242-E8A8-4472-9F19-441F67D39D6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[0]!Строка_для_спарклайна</xm:f>
              <xm:sqref>B4</xm:sqref>
            </x14:sparkline>
            <x14:sparkline>
              <xm:f>[0]!Строка_для_спарклайна</xm:f>
              <xm:sqref>B5</xm:sqref>
            </x14:sparkline>
            <x14:sparkline>
              <xm:f>[0]!Строка_для_спарклайна</xm:f>
              <xm:sqref>B6</xm:sqref>
            </x14:sparkline>
            <x14:sparkline>
              <xm:f>[0]!Строка_для_спарклайна</xm:f>
              <xm:sqref>B7</xm:sqref>
            </x14:sparkline>
            <x14:sparkline>
              <xm:f>[0]!Строка_для_спарклайна</xm:f>
              <xm:sqref>B8</xm:sqref>
            </x14:sparkline>
            <x14:sparkline>
              <xm:f>[0]!Строка_для_спарклайна</xm:f>
              <xm:sqref>B9</xm:sqref>
            </x14:sparkline>
          </x14:sparklines>
        </x14:sparklineGroup>
      </x14:sparklineGroup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81DF3-2EAD-4925-B025-0A5BBA655948}">
  <dimension ref="A1:H7"/>
  <sheetViews>
    <sheetView showRowColHeaders="0" workbookViewId="0">
      <selection activeCell="R37" sqref="R37"/>
    </sheetView>
  </sheetViews>
  <sheetFormatPr defaultRowHeight="14.25" x14ac:dyDescent="0.45"/>
  <cols>
    <col min="1" max="1" width="28.46484375" bestFit="1" customWidth="1"/>
    <col min="2" max="6" width="7.19921875" style="2" bestFit="1" customWidth="1"/>
    <col min="7" max="7" width="8.19921875" style="2" bestFit="1" customWidth="1"/>
    <col min="8" max="9" width="7.19921875" style="2" bestFit="1" customWidth="1"/>
    <col min="10" max="16384" width="9.06640625" style="2"/>
  </cols>
  <sheetData>
    <row r="1" spans="1:8" x14ac:dyDescent="0.45">
      <c r="A1" t="s">
        <v>19</v>
      </c>
      <c r="B1" s="2" t="s">
        <v>6</v>
      </c>
      <c r="C1" s="2" t="s">
        <v>7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</row>
    <row r="2" spans="1:8" hidden="1" x14ac:dyDescent="0.45">
      <c r="A2" s="1" t="s">
        <v>0</v>
      </c>
      <c r="B2" s="2">
        <v>1.5567</v>
      </c>
      <c r="C2" s="2">
        <v>1.5342</v>
      </c>
      <c r="D2" s="2">
        <v>1.5329999999999999</v>
      </c>
      <c r="E2" s="2">
        <v>1.6347</v>
      </c>
      <c r="F2" s="2">
        <v>1.6569</v>
      </c>
      <c r="G2" s="2">
        <v>1.7015</v>
      </c>
      <c r="H2" s="2">
        <v>1.6176999999999999</v>
      </c>
    </row>
    <row r="3" spans="1:8" hidden="1" x14ac:dyDescent="0.45">
      <c r="A3" s="1" t="s">
        <v>1</v>
      </c>
      <c r="B3" s="2">
        <v>87.685000000000002</v>
      </c>
      <c r="C3" s="2">
        <v>88.17</v>
      </c>
      <c r="D3" s="2">
        <v>89.525000000000006</v>
      </c>
      <c r="E3" s="2">
        <v>94.100800000000007</v>
      </c>
      <c r="F3" s="2">
        <v>97.978300000000004</v>
      </c>
      <c r="G3" s="2">
        <v>100.48820000000001</v>
      </c>
      <c r="H3" s="2">
        <v>97.170599999999993</v>
      </c>
    </row>
    <row r="4" spans="1:8" hidden="1" x14ac:dyDescent="0.45">
      <c r="A4" s="1" t="s">
        <v>2</v>
      </c>
      <c r="B4" s="2">
        <v>2.3056000000000001</v>
      </c>
      <c r="C4" s="2">
        <v>2.3081999999999998</v>
      </c>
      <c r="D4" s="2">
        <v>2.3246000000000002</v>
      </c>
      <c r="E4" s="2">
        <v>2.4582999999999999</v>
      </c>
      <c r="F4" s="2">
        <v>2.5648</v>
      </c>
      <c r="G4" s="2">
        <v>2.6168</v>
      </c>
      <c r="H4" s="2">
        <v>2.5327999999999999</v>
      </c>
    </row>
    <row r="5" spans="1:8" hidden="1" x14ac:dyDescent="0.45">
      <c r="A5" s="1" t="s">
        <v>3</v>
      </c>
      <c r="B5" s="2">
        <v>1.6415999999999999</v>
      </c>
      <c r="C5" s="2">
        <v>1.6456999999999999</v>
      </c>
      <c r="D5" s="2">
        <v>1.6632</v>
      </c>
      <c r="E5" s="2">
        <v>1.7161</v>
      </c>
      <c r="F5" s="2">
        <v>1.7482</v>
      </c>
      <c r="G5" s="2">
        <v>1.7951999999999999</v>
      </c>
      <c r="H5" s="2">
        <v>1.7343999999999999</v>
      </c>
    </row>
    <row r="6" spans="1:8" x14ac:dyDescent="0.45">
      <c r="A6" s="1" t="s">
        <v>4</v>
      </c>
      <c r="B6" s="2">
        <v>76.763499999999993</v>
      </c>
      <c r="C6" s="2">
        <v>77.183499999999995</v>
      </c>
      <c r="D6" s="2">
        <v>78.363299999999995</v>
      </c>
      <c r="E6" s="2">
        <v>81.559799999999996</v>
      </c>
      <c r="F6" s="2">
        <v>83.875600000000006</v>
      </c>
      <c r="G6" s="2">
        <v>86.5411</v>
      </c>
      <c r="H6" s="2">
        <v>84.275000000000006</v>
      </c>
    </row>
    <row r="7" spans="1:8" hidden="1" x14ac:dyDescent="0.45">
      <c r="A7" s="1" t="s">
        <v>5</v>
      </c>
      <c r="B7" s="2">
        <v>3.0000000000000001E-3</v>
      </c>
      <c r="C7" s="2">
        <v>3.0000000000000001E-3</v>
      </c>
      <c r="D7" s="2">
        <v>3.0999999999999999E-3</v>
      </c>
      <c r="E7" s="2">
        <v>3.2000000000000002E-3</v>
      </c>
      <c r="F7" s="2">
        <v>3.3E-3</v>
      </c>
      <c r="G7" s="2">
        <v>3.3999999999999998E-3</v>
      </c>
      <c r="H7" s="2">
        <v>3.3E-3</v>
      </c>
    </row>
  </sheetData>
  <phoneticPr fontId="1" type="noConversion"/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2100-A8DC-4D73-80CE-E11F2413EB8A}">
  <dimension ref="A1:B2"/>
  <sheetViews>
    <sheetView workbookViewId="0">
      <selection activeCell="A6" sqref="A6"/>
    </sheetView>
  </sheetViews>
  <sheetFormatPr defaultRowHeight="14.25" x14ac:dyDescent="0.45"/>
  <cols>
    <col min="1" max="1" width="18.46484375" bestFit="1" customWidth="1"/>
    <col min="2" max="2" width="51.1328125" bestFit="1" customWidth="1"/>
  </cols>
  <sheetData>
    <row r="1" spans="1:2" x14ac:dyDescent="0.45">
      <c r="A1" t="s">
        <v>9</v>
      </c>
      <c r="B1" t="s">
        <v>10</v>
      </c>
    </row>
    <row r="2" spans="1:2" x14ac:dyDescent="0.45">
      <c r="A2" t="s">
        <v>8</v>
      </c>
      <c r="B2" t="str" cm="1">
        <f t="array" aca="1" ref="B2" ca="1">LEFT(CELL("имяфайла",B2),FIND("\[",CELL("имяфайла",B2),1)-1)</f>
        <v>C:\Users\Mi\DE_learning\currency-rate-project\airflow\reports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5DD7A2-C830-485E-BEBB-C77D11883B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Отчет</vt:lpstr>
      <vt:lpstr>reports</vt:lpstr>
      <vt:lpstr>params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Екатерина Кашлач</cp:lastModifiedBy>
  <dcterms:created xsi:type="dcterms:W3CDTF">2026-07-13T10:00:22Z</dcterms:created>
  <dcterms:modified xsi:type="dcterms:W3CDTF">2026-09-24T10:14:40Z</dcterms:modified>
</cp:coreProperties>
</file>